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ndre\Documentos\UFSCar\INTRODUÇÃO A QUIMIOMETRIA\templates_excel\"/>
    </mc:Choice>
  </mc:AlternateContent>
  <xr:revisionPtr revIDLastSave="0" documentId="13_ncr:1_{7664D383-2B36-4EE0-8BF5-438AC27D7324}" xr6:coauthVersionLast="47" xr6:coauthVersionMax="47" xr10:uidLastSave="{00000000-0000-0000-0000-000000000000}"/>
  <bookViews>
    <workbookView xWindow="-120" yWindow="-120" windowWidth="20730" windowHeight="11160" xr2:uid="{A3EE2C3F-3AD1-455B-82AE-E08E7254139F}"/>
  </bookViews>
  <sheets>
    <sheet name="Res-2(4)" sheetId="2" r:id="rId1"/>
    <sheet name="Dado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2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U2" i="2"/>
  <c r="T2" i="2"/>
  <c r="S2" i="2"/>
  <c r="R2" i="2"/>
  <c r="Q2" i="2"/>
  <c r="P2" i="2"/>
  <c r="O2" i="2"/>
  <c r="N2" i="2"/>
  <c r="M2" i="2"/>
  <c r="L2" i="2"/>
  <c r="K2" i="2"/>
  <c r="K18" i="2" s="1"/>
  <c r="J2" i="2"/>
  <c r="I2" i="2"/>
  <c r="H2" i="2"/>
  <c r="H18" i="2" l="1"/>
  <c r="L18" i="2"/>
  <c r="T18" i="2"/>
  <c r="G18" i="2"/>
  <c r="P18" i="2"/>
  <c r="I18" i="2"/>
  <c r="M18" i="2"/>
  <c r="Q18" i="2"/>
  <c r="U18" i="2"/>
  <c r="J18" i="2"/>
  <c r="N18" i="2"/>
  <c r="R18" i="2"/>
  <c r="O18" i="2"/>
  <c r="S18" i="2"/>
</calcChain>
</file>

<file path=xl/sharedStrings.xml><?xml version="1.0" encoding="utf-8"?>
<sst xmlns="http://schemas.openxmlformats.org/spreadsheetml/2006/main" count="15" uniqueCount="15">
  <si>
    <t>Nº</t>
  </si>
  <si>
    <t>V1</t>
  </si>
  <si>
    <t>V2</t>
  </si>
  <si>
    <t>V3</t>
  </si>
  <si>
    <t>V4</t>
  </si>
  <si>
    <t>Experimento</t>
  </si>
  <si>
    <t>v1</t>
  </si>
  <si>
    <t>v2</t>
  </si>
  <si>
    <t>v3</t>
  </si>
  <si>
    <t>v4</t>
  </si>
  <si>
    <t>Réplica1</t>
  </si>
  <si>
    <t>Réplica2</t>
  </si>
  <si>
    <t>R</t>
  </si>
  <si>
    <t>Coluna1</t>
  </si>
  <si>
    <t>Coluna2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</si>
</sst>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133349</xdr:colOff>
      <xdr:row>0</xdr:row>
      <xdr:rowOff>114301</xdr:rowOff>
    </xdr:from>
    <xdr:to>
      <xdr:col>11</xdr:col>
      <xdr:colOff>123825</xdr:colOff>
      <xdr:row>9</xdr:row>
      <xdr:rowOff>133351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2897C9CE-F5B8-4EC7-A193-6CA075E3131B}"/>
            </a:ext>
          </a:extLst>
        </xdr:cNvPr>
        <xdr:cNvSpPr/>
      </xdr:nvSpPr>
      <xdr:spPr>
        <a:xfrm>
          <a:off x="5229224" y="114301"/>
          <a:ext cx="1819276" cy="1733550"/>
        </a:xfrm>
        <a:prstGeom prst="ellipse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/>
            <a:t>Copie os dados</a:t>
          </a:r>
          <a:r>
            <a:rPr lang="en-US" sz="1800" b="1" baseline="0"/>
            <a:t>  nesta planilha!</a:t>
          </a:r>
          <a:endParaRPr lang="en-US" sz="1800" b="1"/>
        </a:p>
      </xdr:txBody>
    </xdr:sp>
    <xdr:clientData/>
  </xdr:twoCellAnchor>
  <xdr:twoCellAnchor>
    <xdr:from>
      <xdr:col>8</xdr:col>
      <xdr:colOff>476250</xdr:colOff>
      <xdr:row>11</xdr:row>
      <xdr:rowOff>161923</xdr:rowOff>
    </xdr:from>
    <xdr:to>
      <xdr:col>10</xdr:col>
      <xdr:colOff>333375</xdr:colOff>
      <xdr:row>17</xdr:row>
      <xdr:rowOff>76200</xdr:rowOff>
    </xdr:to>
    <xdr:sp macro="[0]!EfeitosR1" textlink="">
      <xdr:nvSpPr>
        <xdr:cNvPr id="3" name="Elipse 2">
          <a:extLst>
            <a:ext uri="{FF2B5EF4-FFF2-40B4-BE49-F238E27FC236}">
              <a16:creationId xmlns:a16="http://schemas.microsoft.com/office/drawing/2014/main" id="{F2934DAC-DD9B-4B71-B285-29FE64597D39}"/>
            </a:ext>
          </a:extLst>
        </xdr:cNvPr>
        <xdr:cNvSpPr/>
      </xdr:nvSpPr>
      <xdr:spPr>
        <a:xfrm>
          <a:off x="5572125" y="2257423"/>
          <a:ext cx="1076325" cy="1057277"/>
        </a:xfrm>
        <a:prstGeom prst="ellipse">
          <a:avLst/>
        </a:prstGeom>
        <a:solidFill>
          <a:schemeClr val="accent6">
            <a:lumMod val="5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50" b="1" baseline="0"/>
            <a:t>CALCULAR EFEITOS</a:t>
          </a:r>
        </a:p>
        <a:p>
          <a:pPr algn="ctr"/>
          <a:r>
            <a:rPr lang="en-US" sz="1050" b="1" baseline="0"/>
            <a:t>PARA RÉPLICA 1</a:t>
          </a:r>
          <a:endParaRPr lang="en-US" sz="1050" b="1"/>
        </a:p>
      </xdr:txBody>
    </xdr:sp>
    <xdr:clientData/>
  </xdr:twoCellAnchor>
  <xdr:twoCellAnchor>
    <xdr:from>
      <xdr:col>12</xdr:col>
      <xdr:colOff>9525</xdr:colOff>
      <xdr:row>1</xdr:row>
      <xdr:rowOff>180973</xdr:rowOff>
    </xdr:from>
    <xdr:to>
      <xdr:col>13</xdr:col>
      <xdr:colOff>476250</xdr:colOff>
      <xdr:row>7</xdr:row>
      <xdr:rowOff>95250</xdr:rowOff>
    </xdr:to>
    <xdr:sp macro="[0]!EfeitoR2" textlink="">
      <xdr:nvSpPr>
        <xdr:cNvPr id="4" name="Elipse 3">
          <a:extLst>
            <a:ext uri="{FF2B5EF4-FFF2-40B4-BE49-F238E27FC236}">
              <a16:creationId xmlns:a16="http://schemas.microsoft.com/office/drawing/2014/main" id="{A7E09F72-2EB0-4C0B-990B-5C7B84C80849}"/>
            </a:ext>
          </a:extLst>
        </xdr:cNvPr>
        <xdr:cNvSpPr/>
      </xdr:nvSpPr>
      <xdr:spPr>
        <a:xfrm>
          <a:off x="7543800" y="371473"/>
          <a:ext cx="1076325" cy="1057277"/>
        </a:xfrm>
        <a:prstGeom prst="ellipse">
          <a:avLst/>
        </a:prstGeom>
        <a:solidFill>
          <a:schemeClr val="accent6">
            <a:lumMod val="5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50" b="1" baseline="0"/>
            <a:t>CALCULAR EFEITOS</a:t>
          </a:r>
        </a:p>
        <a:p>
          <a:pPr algn="ctr"/>
          <a:r>
            <a:rPr lang="en-US" sz="1050" b="1" baseline="0"/>
            <a:t>PARA RÉPLICA 2</a:t>
          </a:r>
          <a:endParaRPr lang="en-US" sz="105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C66085-8347-425F-A524-F0FA871ED5FE}" name="Tabela1" displayName="Tabela1" ref="W2:X17" totalsRowShown="0">
  <autoFilter ref="W2:X17" xr:uid="{99C66085-8347-425F-A524-F0FA871ED5FE}"/>
  <sortState xmlns:xlrd2="http://schemas.microsoft.com/office/spreadsheetml/2017/richdata2" ref="W3:X17">
    <sortCondition ref="W2:W17"/>
  </sortState>
  <tableColumns count="2">
    <tableColumn id="1" xr3:uid="{C777983A-0097-4F65-8778-762851B133F1}" name="Coluna1"/>
    <tableColumn id="2" xr3:uid="{ECD4E144-41B9-46A0-8963-C771FFA517F5}" name="Coluna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FF800-EAAA-4FBA-BADB-087C01B160EF}">
  <sheetPr codeName="Planilha1"/>
  <dimension ref="A1:X18"/>
  <sheetViews>
    <sheetView tabSelected="1" zoomScaleNormal="100" workbookViewId="0">
      <selection activeCell="B2" sqref="B2:E17"/>
    </sheetView>
  </sheetViews>
  <sheetFormatPr defaultRowHeight="15" x14ac:dyDescent="0.25"/>
  <cols>
    <col min="23" max="24" width="10.28515625" customWidth="1"/>
  </cols>
  <sheetData>
    <row r="1" spans="1:2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12</v>
      </c>
      <c r="G1" s="1">
        <v>1</v>
      </c>
      <c r="H1" s="1">
        <v>2</v>
      </c>
      <c r="I1" s="1">
        <v>3</v>
      </c>
      <c r="J1" s="1">
        <v>4</v>
      </c>
      <c r="K1" s="1">
        <v>12</v>
      </c>
      <c r="L1" s="1">
        <v>13</v>
      </c>
      <c r="M1" s="1">
        <v>14</v>
      </c>
      <c r="N1" s="1">
        <v>23</v>
      </c>
      <c r="O1" s="1">
        <v>24</v>
      </c>
      <c r="P1" s="1">
        <v>34</v>
      </c>
      <c r="Q1" s="1">
        <v>123</v>
      </c>
      <c r="R1" s="1">
        <v>124</v>
      </c>
      <c r="S1" s="1">
        <v>134</v>
      </c>
      <c r="T1" s="1">
        <v>234</v>
      </c>
      <c r="U1" s="1">
        <v>1234</v>
      </c>
    </row>
    <row r="2" spans="1:24" x14ac:dyDescent="0.25">
      <c r="A2" s="1">
        <v>1</v>
      </c>
      <c r="B2" s="2">
        <v>-1</v>
      </c>
      <c r="C2" s="2">
        <v>-1</v>
      </c>
      <c r="D2" s="2">
        <v>-1</v>
      </c>
      <c r="E2" s="2">
        <v>-1</v>
      </c>
      <c r="F2" s="2">
        <v>55</v>
      </c>
      <c r="G2" s="2">
        <f>B2*F2</f>
        <v>-55</v>
      </c>
      <c r="H2">
        <f t="shared" ref="H2:H17" si="0">C2*F2</f>
        <v>-55</v>
      </c>
      <c r="I2">
        <f t="shared" ref="I2:I17" si="1">D2*F2</f>
        <v>-55</v>
      </c>
      <c r="J2">
        <f t="shared" ref="J2:J17" si="2">E2*F2</f>
        <v>-55</v>
      </c>
      <c r="K2">
        <f t="shared" ref="K2:K17" si="3">B2*C2*F2</f>
        <v>55</v>
      </c>
      <c r="L2">
        <f t="shared" ref="L2:L17" si="4">B2*D2*F2</f>
        <v>55</v>
      </c>
      <c r="M2">
        <f t="shared" ref="M2:M17" si="5">B2*E2*F2</f>
        <v>55</v>
      </c>
      <c r="N2">
        <f t="shared" ref="N2:N17" si="6">C2*D2*F2</f>
        <v>55</v>
      </c>
      <c r="O2">
        <f t="shared" ref="O2:O17" si="7">C2*E2*F2</f>
        <v>55</v>
      </c>
      <c r="P2">
        <f t="shared" ref="P2:P17" si="8">D2*E2*F2</f>
        <v>55</v>
      </c>
      <c r="Q2">
        <f t="shared" ref="Q2:Q17" si="9">B2*C2*D2*F2</f>
        <v>-55</v>
      </c>
      <c r="R2">
        <f t="shared" ref="R2:R17" si="10">B2*C2*E2*F2</f>
        <v>-55</v>
      </c>
      <c r="S2">
        <f t="shared" ref="S2:S17" si="11">B2*D2*E2*F2</f>
        <v>-55</v>
      </c>
      <c r="T2">
        <f t="shared" ref="T2:T17" si="12">C2*D2*E2*F2</f>
        <v>-55</v>
      </c>
      <c r="U2">
        <f t="shared" ref="U2:U17" si="13">B2*C2*D2*E2*F2</f>
        <v>55</v>
      </c>
      <c r="W2" t="s">
        <v>13</v>
      </c>
      <c r="X2" t="s">
        <v>14</v>
      </c>
    </row>
    <row r="3" spans="1:24" x14ac:dyDescent="0.25">
      <c r="A3" s="1">
        <v>2</v>
      </c>
      <c r="B3" s="2">
        <v>1</v>
      </c>
      <c r="C3" s="3">
        <v>-1</v>
      </c>
      <c r="D3" s="2">
        <v>-1</v>
      </c>
      <c r="E3" s="2">
        <v>-1</v>
      </c>
      <c r="F3" s="2">
        <v>53</v>
      </c>
      <c r="G3" s="2">
        <f t="shared" ref="G3:G17" si="14">B3*F3</f>
        <v>53</v>
      </c>
      <c r="H3">
        <f t="shared" si="0"/>
        <v>-53</v>
      </c>
      <c r="I3">
        <f t="shared" si="1"/>
        <v>-53</v>
      </c>
      <c r="J3">
        <f t="shared" si="2"/>
        <v>-53</v>
      </c>
      <c r="K3">
        <f t="shared" si="3"/>
        <v>-53</v>
      </c>
      <c r="L3">
        <f t="shared" si="4"/>
        <v>-53</v>
      </c>
      <c r="M3">
        <f t="shared" si="5"/>
        <v>-53</v>
      </c>
      <c r="N3">
        <f t="shared" si="6"/>
        <v>53</v>
      </c>
      <c r="O3">
        <f t="shared" si="7"/>
        <v>53</v>
      </c>
      <c r="P3">
        <f t="shared" si="8"/>
        <v>53</v>
      </c>
      <c r="Q3">
        <f t="shared" si="9"/>
        <v>53</v>
      </c>
      <c r="R3">
        <f t="shared" si="10"/>
        <v>53</v>
      </c>
      <c r="S3">
        <f t="shared" si="11"/>
        <v>53</v>
      </c>
      <c r="T3">
        <f t="shared" si="12"/>
        <v>-53</v>
      </c>
      <c r="U3">
        <f t="shared" si="13"/>
        <v>-53</v>
      </c>
      <c r="W3">
        <v>-7.8250000000000028</v>
      </c>
      <c r="X3">
        <v>23</v>
      </c>
    </row>
    <row r="4" spans="1:24" x14ac:dyDescent="0.25">
      <c r="A4" s="1">
        <v>3</v>
      </c>
      <c r="B4" s="2">
        <v>-1</v>
      </c>
      <c r="C4" s="2">
        <v>1</v>
      </c>
      <c r="D4" s="2">
        <v>-1</v>
      </c>
      <c r="E4" s="2">
        <v>-1</v>
      </c>
      <c r="F4" s="2">
        <v>91</v>
      </c>
      <c r="G4" s="2">
        <f t="shared" si="14"/>
        <v>-91</v>
      </c>
      <c r="H4">
        <f t="shared" si="0"/>
        <v>91</v>
      </c>
      <c r="I4">
        <f t="shared" si="1"/>
        <v>-91</v>
      </c>
      <c r="J4">
        <f t="shared" si="2"/>
        <v>-91</v>
      </c>
      <c r="K4">
        <f t="shared" si="3"/>
        <v>-91</v>
      </c>
      <c r="L4">
        <f t="shared" si="4"/>
        <v>91</v>
      </c>
      <c r="M4">
        <f t="shared" si="5"/>
        <v>91</v>
      </c>
      <c r="N4">
        <f t="shared" si="6"/>
        <v>-91</v>
      </c>
      <c r="O4">
        <f t="shared" si="7"/>
        <v>-91</v>
      </c>
      <c r="P4">
        <f t="shared" si="8"/>
        <v>91</v>
      </c>
      <c r="Q4">
        <f t="shared" si="9"/>
        <v>91</v>
      </c>
      <c r="R4">
        <f t="shared" si="10"/>
        <v>91</v>
      </c>
      <c r="S4">
        <f t="shared" si="11"/>
        <v>-91</v>
      </c>
      <c r="T4">
        <f t="shared" si="12"/>
        <v>91</v>
      </c>
      <c r="U4">
        <f t="shared" si="13"/>
        <v>-91</v>
      </c>
      <c r="W4">
        <v>-4.5750000000000028</v>
      </c>
      <c r="X4">
        <v>34</v>
      </c>
    </row>
    <row r="5" spans="1:24" x14ac:dyDescent="0.25">
      <c r="A5" s="1">
        <v>4</v>
      </c>
      <c r="B5" s="2">
        <v>1</v>
      </c>
      <c r="C5" s="2">
        <v>1</v>
      </c>
      <c r="D5" s="2">
        <v>-1</v>
      </c>
      <c r="E5" s="2">
        <v>-1</v>
      </c>
      <c r="F5" s="2">
        <v>94</v>
      </c>
      <c r="G5" s="2">
        <f t="shared" si="14"/>
        <v>94</v>
      </c>
      <c r="H5">
        <f t="shared" si="0"/>
        <v>94</v>
      </c>
      <c r="I5">
        <f t="shared" si="1"/>
        <v>-94</v>
      </c>
      <c r="J5">
        <f t="shared" si="2"/>
        <v>-94</v>
      </c>
      <c r="K5">
        <f t="shared" si="3"/>
        <v>94</v>
      </c>
      <c r="L5">
        <f t="shared" si="4"/>
        <v>-94</v>
      </c>
      <c r="M5">
        <f t="shared" si="5"/>
        <v>-94</v>
      </c>
      <c r="N5">
        <f t="shared" si="6"/>
        <v>-94</v>
      </c>
      <c r="O5">
        <f t="shared" si="7"/>
        <v>-94</v>
      </c>
      <c r="P5">
        <f t="shared" si="8"/>
        <v>94</v>
      </c>
      <c r="Q5">
        <f t="shared" si="9"/>
        <v>-94</v>
      </c>
      <c r="R5">
        <f t="shared" si="10"/>
        <v>-94</v>
      </c>
      <c r="S5">
        <f t="shared" si="11"/>
        <v>94</v>
      </c>
      <c r="T5">
        <f t="shared" si="12"/>
        <v>94</v>
      </c>
      <c r="U5">
        <f t="shared" si="13"/>
        <v>94</v>
      </c>
      <c r="W5">
        <v>-2.2749999999999986</v>
      </c>
      <c r="X5">
        <v>1</v>
      </c>
    </row>
    <row r="6" spans="1:24" x14ac:dyDescent="0.25">
      <c r="A6" s="1">
        <v>5</v>
      </c>
      <c r="B6" s="2">
        <v>-1</v>
      </c>
      <c r="C6" s="2">
        <v>-1</v>
      </c>
      <c r="D6" s="2">
        <v>1</v>
      </c>
      <c r="E6" s="2">
        <v>-1</v>
      </c>
      <c r="F6" s="2">
        <v>88</v>
      </c>
      <c r="G6" s="2">
        <f t="shared" si="14"/>
        <v>-88</v>
      </c>
      <c r="H6">
        <f t="shared" si="0"/>
        <v>-88</v>
      </c>
      <c r="I6">
        <f t="shared" si="1"/>
        <v>88</v>
      </c>
      <c r="J6">
        <f t="shared" si="2"/>
        <v>-88</v>
      </c>
      <c r="K6">
        <f t="shared" si="3"/>
        <v>88</v>
      </c>
      <c r="L6">
        <f t="shared" si="4"/>
        <v>-88</v>
      </c>
      <c r="M6">
        <f t="shared" si="5"/>
        <v>88</v>
      </c>
      <c r="N6">
        <f t="shared" si="6"/>
        <v>-88</v>
      </c>
      <c r="O6">
        <f t="shared" si="7"/>
        <v>88</v>
      </c>
      <c r="P6">
        <f t="shared" si="8"/>
        <v>-88</v>
      </c>
      <c r="Q6">
        <f t="shared" si="9"/>
        <v>88</v>
      </c>
      <c r="R6">
        <f t="shared" si="10"/>
        <v>-88</v>
      </c>
      <c r="S6">
        <f t="shared" si="11"/>
        <v>88</v>
      </c>
      <c r="T6">
        <f t="shared" si="12"/>
        <v>88</v>
      </c>
      <c r="U6">
        <f t="shared" si="13"/>
        <v>-88</v>
      </c>
      <c r="W6">
        <v>-1.5250000000000021</v>
      </c>
      <c r="X6">
        <v>123</v>
      </c>
    </row>
    <row r="7" spans="1:24" x14ac:dyDescent="0.25">
      <c r="A7" s="1">
        <v>6</v>
      </c>
      <c r="B7" s="2">
        <v>1</v>
      </c>
      <c r="C7" s="2">
        <v>-1</v>
      </c>
      <c r="D7" s="2">
        <v>1</v>
      </c>
      <c r="E7" s="2">
        <v>-1</v>
      </c>
      <c r="F7" s="2">
        <v>97</v>
      </c>
      <c r="G7" s="2">
        <f t="shared" si="14"/>
        <v>97</v>
      </c>
      <c r="H7">
        <f t="shared" si="0"/>
        <v>-97</v>
      </c>
      <c r="I7">
        <f t="shared" si="1"/>
        <v>97</v>
      </c>
      <c r="J7">
        <f t="shared" si="2"/>
        <v>-97</v>
      </c>
      <c r="K7">
        <f t="shared" si="3"/>
        <v>-97</v>
      </c>
      <c r="L7">
        <f t="shared" si="4"/>
        <v>97</v>
      </c>
      <c r="M7">
        <f t="shared" si="5"/>
        <v>-97</v>
      </c>
      <c r="N7">
        <f t="shared" si="6"/>
        <v>-97</v>
      </c>
      <c r="O7">
        <f t="shared" si="7"/>
        <v>97</v>
      </c>
      <c r="P7">
        <f t="shared" si="8"/>
        <v>-97</v>
      </c>
      <c r="Q7">
        <f t="shared" si="9"/>
        <v>-97</v>
      </c>
      <c r="R7">
        <f t="shared" si="10"/>
        <v>97</v>
      </c>
      <c r="S7">
        <f t="shared" si="11"/>
        <v>-97</v>
      </c>
      <c r="T7">
        <f t="shared" si="12"/>
        <v>97</v>
      </c>
      <c r="U7">
        <f t="shared" si="13"/>
        <v>97</v>
      </c>
      <c r="W7">
        <v>-1.125</v>
      </c>
      <c r="X7">
        <v>24</v>
      </c>
    </row>
    <row r="8" spans="1:24" x14ac:dyDescent="0.25">
      <c r="A8" s="1">
        <v>7</v>
      </c>
      <c r="B8" s="2">
        <v>-1</v>
      </c>
      <c r="C8" s="2">
        <v>1</v>
      </c>
      <c r="D8" s="2">
        <v>1</v>
      </c>
      <c r="E8" s="2">
        <v>-1</v>
      </c>
      <c r="F8" s="2">
        <v>100</v>
      </c>
      <c r="G8" s="2">
        <f t="shared" si="14"/>
        <v>-100</v>
      </c>
      <c r="H8">
        <f t="shared" si="0"/>
        <v>100</v>
      </c>
      <c r="I8">
        <f t="shared" si="1"/>
        <v>100</v>
      </c>
      <c r="J8">
        <f t="shared" si="2"/>
        <v>-100</v>
      </c>
      <c r="K8">
        <f t="shared" si="3"/>
        <v>-100</v>
      </c>
      <c r="L8">
        <f t="shared" si="4"/>
        <v>-100</v>
      </c>
      <c r="M8">
        <f t="shared" si="5"/>
        <v>100</v>
      </c>
      <c r="N8">
        <f t="shared" si="6"/>
        <v>100</v>
      </c>
      <c r="O8">
        <f t="shared" si="7"/>
        <v>-100</v>
      </c>
      <c r="P8">
        <f t="shared" si="8"/>
        <v>-100</v>
      </c>
      <c r="Q8">
        <f t="shared" si="9"/>
        <v>-100</v>
      </c>
      <c r="R8">
        <f t="shared" si="10"/>
        <v>100</v>
      </c>
      <c r="S8">
        <f t="shared" si="11"/>
        <v>100</v>
      </c>
      <c r="T8">
        <f t="shared" si="12"/>
        <v>-100</v>
      </c>
      <c r="U8">
        <f t="shared" si="13"/>
        <v>100</v>
      </c>
      <c r="W8">
        <v>0.52499999999999858</v>
      </c>
      <c r="X8">
        <v>134</v>
      </c>
    </row>
    <row r="9" spans="1:24" x14ac:dyDescent="0.25">
      <c r="A9" s="1">
        <v>8</v>
      </c>
      <c r="B9" s="2">
        <v>1</v>
      </c>
      <c r="C9" s="2">
        <v>1</v>
      </c>
      <c r="D9" s="2">
        <v>1</v>
      </c>
      <c r="E9" s="2">
        <v>-1</v>
      </c>
      <c r="F9" s="2">
        <v>98</v>
      </c>
      <c r="G9" s="2">
        <f t="shared" si="14"/>
        <v>98</v>
      </c>
      <c r="H9">
        <f t="shared" si="0"/>
        <v>98</v>
      </c>
      <c r="I9">
        <f t="shared" si="1"/>
        <v>98</v>
      </c>
      <c r="J9">
        <f t="shared" si="2"/>
        <v>-98</v>
      </c>
      <c r="K9">
        <f t="shared" si="3"/>
        <v>98</v>
      </c>
      <c r="L9">
        <f t="shared" si="4"/>
        <v>98</v>
      </c>
      <c r="M9">
        <f t="shared" si="5"/>
        <v>-98</v>
      </c>
      <c r="N9">
        <f t="shared" si="6"/>
        <v>98</v>
      </c>
      <c r="O9">
        <f t="shared" si="7"/>
        <v>-98</v>
      </c>
      <c r="P9">
        <f t="shared" si="8"/>
        <v>-98</v>
      </c>
      <c r="Q9">
        <f t="shared" si="9"/>
        <v>98</v>
      </c>
      <c r="R9">
        <f t="shared" si="10"/>
        <v>-98</v>
      </c>
      <c r="S9">
        <f t="shared" si="11"/>
        <v>-98</v>
      </c>
      <c r="T9">
        <f t="shared" si="12"/>
        <v>-98</v>
      </c>
      <c r="U9">
        <f t="shared" si="13"/>
        <v>-98</v>
      </c>
      <c r="W9">
        <v>0.67500000000000071</v>
      </c>
      <c r="X9">
        <v>12</v>
      </c>
    </row>
    <row r="10" spans="1:24" x14ac:dyDescent="0.25">
      <c r="A10" s="1">
        <v>9</v>
      </c>
      <c r="B10" s="2">
        <v>-1</v>
      </c>
      <c r="C10" s="2">
        <v>-1</v>
      </c>
      <c r="D10" s="2">
        <v>-1</v>
      </c>
      <c r="E10" s="2">
        <v>1</v>
      </c>
      <c r="F10" s="2">
        <v>72</v>
      </c>
      <c r="G10" s="2">
        <f t="shared" si="14"/>
        <v>-72</v>
      </c>
      <c r="H10">
        <f t="shared" si="0"/>
        <v>-72</v>
      </c>
      <c r="I10">
        <f t="shared" si="1"/>
        <v>-72</v>
      </c>
      <c r="J10">
        <f t="shared" si="2"/>
        <v>72</v>
      </c>
      <c r="K10">
        <f t="shared" si="3"/>
        <v>72</v>
      </c>
      <c r="L10">
        <f t="shared" si="4"/>
        <v>72</v>
      </c>
      <c r="M10">
        <f t="shared" si="5"/>
        <v>-72</v>
      </c>
      <c r="N10">
        <f t="shared" si="6"/>
        <v>72</v>
      </c>
      <c r="O10">
        <f t="shared" si="7"/>
        <v>-72</v>
      </c>
      <c r="P10">
        <f t="shared" si="8"/>
        <v>-72</v>
      </c>
      <c r="Q10">
        <f t="shared" si="9"/>
        <v>-72</v>
      </c>
      <c r="R10">
        <f t="shared" si="10"/>
        <v>72</v>
      </c>
      <c r="S10">
        <f t="shared" si="11"/>
        <v>72</v>
      </c>
      <c r="T10">
        <f t="shared" si="12"/>
        <v>72</v>
      </c>
      <c r="U10">
        <f t="shared" si="13"/>
        <v>-72</v>
      </c>
      <c r="W10">
        <v>0.77500000000000213</v>
      </c>
      <c r="X10">
        <v>1234</v>
      </c>
    </row>
    <row r="11" spans="1:24" x14ac:dyDescent="0.25">
      <c r="A11" s="1">
        <v>10</v>
      </c>
      <c r="B11" s="2">
        <v>1</v>
      </c>
      <c r="C11" s="2">
        <v>-1</v>
      </c>
      <c r="D11" s="2">
        <v>-1</v>
      </c>
      <c r="E11" s="2">
        <v>1</v>
      </c>
      <c r="F11" s="2">
        <v>62</v>
      </c>
      <c r="G11" s="2">
        <f t="shared" si="14"/>
        <v>62</v>
      </c>
      <c r="H11">
        <f t="shared" si="0"/>
        <v>-62</v>
      </c>
      <c r="I11">
        <f t="shared" si="1"/>
        <v>-62</v>
      </c>
      <c r="J11">
        <f t="shared" si="2"/>
        <v>62</v>
      </c>
      <c r="K11">
        <f t="shared" si="3"/>
        <v>-62</v>
      </c>
      <c r="L11">
        <f t="shared" si="4"/>
        <v>-62</v>
      </c>
      <c r="M11">
        <f t="shared" si="5"/>
        <v>62</v>
      </c>
      <c r="N11">
        <f t="shared" si="6"/>
        <v>62</v>
      </c>
      <c r="O11">
        <f t="shared" si="7"/>
        <v>-62</v>
      </c>
      <c r="P11">
        <f t="shared" si="8"/>
        <v>-62</v>
      </c>
      <c r="Q11">
        <f t="shared" si="9"/>
        <v>62</v>
      </c>
      <c r="R11">
        <f t="shared" si="10"/>
        <v>-62</v>
      </c>
      <c r="S11">
        <f t="shared" si="11"/>
        <v>-62</v>
      </c>
      <c r="T11">
        <f t="shared" si="12"/>
        <v>62</v>
      </c>
      <c r="U11">
        <f t="shared" si="13"/>
        <v>62</v>
      </c>
      <c r="W11">
        <v>1.5749999999999993</v>
      </c>
      <c r="X11">
        <v>124</v>
      </c>
    </row>
    <row r="12" spans="1:24" x14ac:dyDescent="0.25">
      <c r="A12" s="1">
        <v>11</v>
      </c>
      <c r="B12" s="2">
        <v>-1</v>
      </c>
      <c r="C12" s="2">
        <v>1</v>
      </c>
      <c r="D12" s="2">
        <v>-1</v>
      </c>
      <c r="E12" s="2">
        <v>1</v>
      </c>
      <c r="F12" s="2">
        <v>90</v>
      </c>
      <c r="G12" s="2">
        <f t="shared" si="14"/>
        <v>-90</v>
      </c>
      <c r="H12">
        <f t="shared" si="0"/>
        <v>90</v>
      </c>
      <c r="I12">
        <f t="shared" si="1"/>
        <v>-90</v>
      </c>
      <c r="J12">
        <f t="shared" si="2"/>
        <v>90</v>
      </c>
      <c r="K12">
        <f t="shared" si="3"/>
        <v>-90</v>
      </c>
      <c r="L12">
        <f t="shared" si="4"/>
        <v>90</v>
      </c>
      <c r="M12">
        <f t="shared" si="5"/>
        <v>-90</v>
      </c>
      <c r="N12">
        <f t="shared" si="6"/>
        <v>-90</v>
      </c>
      <c r="O12">
        <f t="shared" si="7"/>
        <v>90</v>
      </c>
      <c r="P12">
        <f t="shared" si="8"/>
        <v>-90</v>
      </c>
      <c r="Q12">
        <f t="shared" si="9"/>
        <v>90</v>
      </c>
      <c r="R12">
        <f t="shared" si="10"/>
        <v>-90</v>
      </c>
      <c r="S12">
        <f t="shared" si="11"/>
        <v>90</v>
      </c>
      <c r="T12">
        <f t="shared" si="12"/>
        <v>-90</v>
      </c>
      <c r="U12">
        <f t="shared" si="13"/>
        <v>90</v>
      </c>
      <c r="W12">
        <v>2.4750000000000014</v>
      </c>
      <c r="X12">
        <v>234</v>
      </c>
    </row>
    <row r="13" spans="1:24" x14ac:dyDescent="0.25">
      <c r="A13" s="1">
        <v>12</v>
      </c>
      <c r="B13" s="2">
        <v>1</v>
      </c>
      <c r="C13" s="2">
        <v>1</v>
      </c>
      <c r="D13" s="2">
        <v>-1</v>
      </c>
      <c r="E13" s="2">
        <v>1</v>
      </c>
      <c r="F13" s="2">
        <v>90</v>
      </c>
      <c r="G13" s="2">
        <f t="shared" si="14"/>
        <v>90</v>
      </c>
      <c r="H13">
        <f t="shared" si="0"/>
        <v>90</v>
      </c>
      <c r="I13">
        <f t="shared" si="1"/>
        <v>-90</v>
      </c>
      <c r="J13">
        <f t="shared" si="2"/>
        <v>90</v>
      </c>
      <c r="K13">
        <f t="shared" si="3"/>
        <v>90</v>
      </c>
      <c r="L13">
        <f t="shared" si="4"/>
        <v>-90</v>
      </c>
      <c r="M13">
        <f t="shared" si="5"/>
        <v>90</v>
      </c>
      <c r="N13">
        <f t="shared" si="6"/>
        <v>-90</v>
      </c>
      <c r="O13">
        <f t="shared" si="7"/>
        <v>90</v>
      </c>
      <c r="P13">
        <f t="shared" si="8"/>
        <v>-90</v>
      </c>
      <c r="Q13">
        <f t="shared" si="9"/>
        <v>-90</v>
      </c>
      <c r="R13">
        <f t="shared" si="10"/>
        <v>90</v>
      </c>
      <c r="S13">
        <f t="shared" si="11"/>
        <v>-90</v>
      </c>
      <c r="T13">
        <f t="shared" si="12"/>
        <v>-90</v>
      </c>
      <c r="U13">
        <f t="shared" si="13"/>
        <v>-90</v>
      </c>
      <c r="W13">
        <v>3.125</v>
      </c>
      <c r="X13">
        <v>13</v>
      </c>
    </row>
    <row r="14" spans="1:24" x14ac:dyDescent="0.25">
      <c r="A14" s="1">
        <v>13</v>
      </c>
      <c r="B14" s="2">
        <v>-1</v>
      </c>
      <c r="C14" s="2">
        <v>-1</v>
      </c>
      <c r="D14" s="2">
        <v>1</v>
      </c>
      <c r="E14" s="2">
        <v>1</v>
      </c>
      <c r="F14" s="2">
        <v>90</v>
      </c>
      <c r="G14" s="2">
        <f t="shared" si="14"/>
        <v>-90</v>
      </c>
      <c r="H14">
        <f t="shared" si="0"/>
        <v>-90</v>
      </c>
      <c r="I14">
        <f t="shared" si="1"/>
        <v>90</v>
      </c>
      <c r="J14">
        <f t="shared" si="2"/>
        <v>90</v>
      </c>
      <c r="K14">
        <f t="shared" si="3"/>
        <v>90</v>
      </c>
      <c r="L14">
        <f t="shared" si="4"/>
        <v>-90</v>
      </c>
      <c r="M14">
        <f t="shared" si="5"/>
        <v>-90</v>
      </c>
      <c r="N14">
        <f t="shared" si="6"/>
        <v>-90</v>
      </c>
      <c r="O14">
        <f t="shared" si="7"/>
        <v>-90</v>
      </c>
      <c r="P14">
        <f t="shared" si="8"/>
        <v>90</v>
      </c>
      <c r="Q14">
        <f t="shared" si="9"/>
        <v>90</v>
      </c>
      <c r="R14">
        <f t="shared" si="10"/>
        <v>90</v>
      </c>
      <c r="S14">
        <f t="shared" si="11"/>
        <v>-90</v>
      </c>
      <c r="T14">
        <f t="shared" si="12"/>
        <v>-90</v>
      </c>
      <c r="U14">
        <f t="shared" si="13"/>
        <v>90</v>
      </c>
      <c r="W14">
        <v>3.125</v>
      </c>
      <c r="X14">
        <v>14</v>
      </c>
    </row>
    <row r="15" spans="1:24" x14ac:dyDescent="0.25">
      <c r="A15" s="1">
        <v>14</v>
      </c>
      <c r="B15" s="2">
        <v>1</v>
      </c>
      <c r="C15" s="2">
        <v>-1</v>
      </c>
      <c r="D15" s="2">
        <v>1</v>
      </c>
      <c r="E15" s="2">
        <v>1</v>
      </c>
      <c r="F15" s="2">
        <v>98</v>
      </c>
      <c r="G15" s="2">
        <f t="shared" si="14"/>
        <v>98</v>
      </c>
      <c r="H15">
        <f t="shared" si="0"/>
        <v>-98</v>
      </c>
      <c r="I15">
        <f t="shared" si="1"/>
        <v>98</v>
      </c>
      <c r="J15">
        <f t="shared" si="2"/>
        <v>98</v>
      </c>
      <c r="K15">
        <f t="shared" si="3"/>
        <v>-98</v>
      </c>
      <c r="L15">
        <f t="shared" si="4"/>
        <v>98</v>
      </c>
      <c r="M15">
        <f t="shared" si="5"/>
        <v>98</v>
      </c>
      <c r="N15">
        <f t="shared" si="6"/>
        <v>-98</v>
      </c>
      <c r="O15">
        <f t="shared" si="7"/>
        <v>-98</v>
      </c>
      <c r="P15">
        <f t="shared" si="8"/>
        <v>98</v>
      </c>
      <c r="Q15">
        <f t="shared" si="9"/>
        <v>-98</v>
      </c>
      <c r="R15">
        <f t="shared" si="10"/>
        <v>-98</v>
      </c>
      <c r="S15">
        <f t="shared" si="11"/>
        <v>98</v>
      </c>
      <c r="T15">
        <f t="shared" si="12"/>
        <v>-98</v>
      </c>
      <c r="U15">
        <f t="shared" si="13"/>
        <v>-98</v>
      </c>
      <c r="W15">
        <v>5.2250000000000014</v>
      </c>
      <c r="X15">
        <v>4</v>
      </c>
    </row>
    <row r="16" spans="1:24" x14ac:dyDescent="0.25">
      <c r="A16" s="1">
        <v>15</v>
      </c>
      <c r="B16" s="2">
        <v>-1</v>
      </c>
      <c r="C16" s="2">
        <v>1</v>
      </c>
      <c r="D16" s="2">
        <v>1</v>
      </c>
      <c r="E16" s="2">
        <v>1</v>
      </c>
      <c r="F16" s="2">
        <v>104</v>
      </c>
      <c r="G16" s="2">
        <f t="shared" si="14"/>
        <v>-104</v>
      </c>
      <c r="H16">
        <f t="shared" si="0"/>
        <v>104</v>
      </c>
      <c r="I16">
        <f t="shared" si="1"/>
        <v>104</v>
      </c>
      <c r="J16">
        <f t="shared" si="2"/>
        <v>104</v>
      </c>
      <c r="K16">
        <f t="shared" si="3"/>
        <v>-104</v>
      </c>
      <c r="L16">
        <f t="shared" si="4"/>
        <v>-104</v>
      </c>
      <c r="M16">
        <f t="shared" si="5"/>
        <v>-104</v>
      </c>
      <c r="N16">
        <f t="shared" si="6"/>
        <v>104</v>
      </c>
      <c r="O16">
        <f t="shared" si="7"/>
        <v>104</v>
      </c>
      <c r="P16">
        <f t="shared" si="8"/>
        <v>104</v>
      </c>
      <c r="Q16">
        <f t="shared" si="9"/>
        <v>-104</v>
      </c>
      <c r="R16">
        <f t="shared" si="10"/>
        <v>-104</v>
      </c>
      <c r="S16">
        <f t="shared" si="11"/>
        <v>-104</v>
      </c>
      <c r="T16">
        <f t="shared" si="12"/>
        <v>104</v>
      </c>
      <c r="U16">
        <f t="shared" si="13"/>
        <v>-104</v>
      </c>
      <c r="W16">
        <v>19.025000000000002</v>
      </c>
      <c r="X16">
        <v>3</v>
      </c>
    </row>
    <row r="17" spans="1:24" x14ac:dyDescent="0.25">
      <c r="A17" s="1">
        <v>16</v>
      </c>
      <c r="B17" s="2">
        <v>1</v>
      </c>
      <c r="C17" s="2">
        <v>1</v>
      </c>
      <c r="D17" s="2">
        <v>1</v>
      </c>
      <c r="E17" s="2">
        <v>1</v>
      </c>
      <c r="F17" s="2">
        <v>100</v>
      </c>
      <c r="G17" s="2">
        <f t="shared" si="14"/>
        <v>100</v>
      </c>
      <c r="H17">
        <f t="shared" si="0"/>
        <v>100</v>
      </c>
      <c r="I17">
        <f t="shared" si="1"/>
        <v>100</v>
      </c>
      <c r="J17">
        <f t="shared" si="2"/>
        <v>100</v>
      </c>
      <c r="K17">
        <f t="shared" si="3"/>
        <v>100</v>
      </c>
      <c r="L17">
        <f t="shared" si="4"/>
        <v>100</v>
      </c>
      <c r="M17">
        <f t="shared" si="5"/>
        <v>100</v>
      </c>
      <c r="N17">
        <f t="shared" si="6"/>
        <v>100</v>
      </c>
      <c r="O17">
        <f t="shared" si="7"/>
        <v>100</v>
      </c>
      <c r="P17">
        <f t="shared" si="8"/>
        <v>100</v>
      </c>
      <c r="Q17">
        <f t="shared" si="9"/>
        <v>100</v>
      </c>
      <c r="R17">
        <f t="shared" si="10"/>
        <v>100</v>
      </c>
      <c r="S17">
        <f t="shared" si="11"/>
        <v>100</v>
      </c>
      <c r="T17">
        <f t="shared" si="12"/>
        <v>100</v>
      </c>
      <c r="U17">
        <f t="shared" si="13"/>
        <v>100</v>
      </c>
      <c r="W17">
        <v>19.975000000000001</v>
      </c>
      <c r="X17">
        <v>2</v>
      </c>
    </row>
    <row r="18" spans="1:24" x14ac:dyDescent="0.25">
      <c r="G18" s="2">
        <f>SUM(G2:G17)/8</f>
        <v>0.25</v>
      </c>
      <c r="H18" s="2">
        <f t="shared" ref="H18:U18" si="15">SUM(H2:H17)/8</f>
        <v>19</v>
      </c>
      <c r="I18" s="2">
        <f t="shared" si="15"/>
        <v>21</v>
      </c>
      <c r="J18" s="2">
        <f t="shared" si="15"/>
        <v>3.75</v>
      </c>
      <c r="K18" s="2">
        <f t="shared" si="15"/>
        <v>-1</v>
      </c>
      <c r="L18" s="2">
        <f t="shared" si="15"/>
        <v>2.5</v>
      </c>
      <c r="M18" s="2">
        <f t="shared" si="15"/>
        <v>-1.75</v>
      </c>
      <c r="N18" s="2">
        <f t="shared" si="15"/>
        <v>-11.75</v>
      </c>
      <c r="O18" s="2">
        <f t="shared" si="15"/>
        <v>-3.5</v>
      </c>
      <c r="P18" s="2">
        <f t="shared" si="15"/>
        <v>-1.5</v>
      </c>
      <c r="Q18" s="2">
        <f t="shared" si="15"/>
        <v>-4.75</v>
      </c>
      <c r="R18" s="2">
        <f t="shared" si="15"/>
        <v>0.5</v>
      </c>
      <c r="S18" s="2">
        <f t="shared" si="15"/>
        <v>1</v>
      </c>
      <c r="T18" s="2">
        <f t="shared" si="15"/>
        <v>4.25</v>
      </c>
      <c r="U18" s="2">
        <f t="shared" si="15"/>
        <v>-0.75</v>
      </c>
    </row>
  </sheetData>
  <sortState xmlns:xlrd2="http://schemas.microsoft.com/office/spreadsheetml/2017/richdata2" ref="W3:W17">
    <sortCondition ref="W3:W17"/>
  </sortState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666AA-71E3-4247-8498-07FE1C47E7B7}">
  <sheetPr codeName="Planilha2"/>
  <dimension ref="A1:J18"/>
  <sheetViews>
    <sheetView workbookViewId="0">
      <selection activeCell="B3" sqref="B3:E18"/>
    </sheetView>
  </sheetViews>
  <sheetFormatPr defaultRowHeight="15" x14ac:dyDescent="0.25"/>
  <cols>
    <col min="1" max="1" width="12.42578125" bestFit="1" customWidth="1"/>
  </cols>
  <sheetData>
    <row r="1" spans="1:10" x14ac:dyDescent="0.25">
      <c r="B1" s="2"/>
      <c r="C1" s="2"/>
      <c r="D1" s="2"/>
      <c r="E1" s="2"/>
      <c r="F1" s="2"/>
    </row>
    <row r="2" spans="1:10" x14ac:dyDescent="0.25">
      <c r="A2" s="2" t="s">
        <v>5</v>
      </c>
      <c r="B2" s="2" t="s">
        <v>6</v>
      </c>
      <c r="C2" s="2" t="s">
        <v>7</v>
      </c>
      <c r="D2" s="2" t="s">
        <v>8</v>
      </c>
      <c r="E2" s="2" t="s">
        <v>9</v>
      </c>
      <c r="F2" s="2" t="s">
        <v>10</v>
      </c>
      <c r="G2" s="2" t="s">
        <v>11</v>
      </c>
      <c r="H2" s="2"/>
      <c r="I2" s="2"/>
      <c r="J2" s="2"/>
    </row>
    <row r="3" spans="1:10" x14ac:dyDescent="0.25">
      <c r="A3" s="2">
        <v>1</v>
      </c>
      <c r="B3" s="2">
        <v>-1</v>
      </c>
      <c r="C3" s="2">
        <v>-1</v>
      </c>
      <c r="D3" s="2">
        <v>-1</v>
      </c>
      <c r="E3" s="2">
        <v>-1</v>
      </c>
      <c r="F3" s="2">
        <v>65</v>
      </c>
      <c r="G3" s="2">
        <v>55</v>
      </c>
      <c r="H3" s="2"/>
      <c r="I3" s="2"/>
      <c r="J3" s="2"/>
    </row>
    <row r="4" spans="1:10" x14ac:dyDescent="0.25">
      <c r="A4" s="2">
        <v>2</v>
      </c>
      <c r="B4" s="2">
        <v>1</v>
      </c>
      <c r="C4" s="3">
        <v>-1</v>
      </c>
      <c r="D4" s="2">
        <v>-1</v>
      </c>
      <c r="E4" s="2">
        <v>-1</v>
      </c>
      <c r="F4" s="2">
        <v>55.6</v>
      </c>
      <c r="G4" s="2">
        <v>53</v>
      </c>
      <c r="H4" s="2"/>
      <c r="I4" s="2"/>
      <c r="J4" s="2"/>
    </row>
    <row r="5" spans="1:10" x14ac:dyDescent="0.25">
      <c r="A5" s="2">
        <v>3</v>
      </c>
      <c r="B5" s="2">
        <v>-1</v>
      </c>
      <c r="C5" s="2">
        <v>1</v>
      </c>
      <c r="D5" s="2">
        <v>-1</v>
      </c>
      <c r="E5" s="2">
        <v>-1</v>
      </c>
      <c r="F5" s="2">
        <v>95</v>
      </c>
      <c r="G5" s="2">
        <v>91</v>
      </c>
      <c r="H5" s="2"/>
      <c r="I5" s="2"/>
      <c r="J5" s="2"/>
    </row>
    <row r="6" spans="1:10" x14ac:dyDescent="0.25">
      <c r="A6" s="2">
        <v>4</v>
      </c>
      <c r="B6" s="2">
        <v>1</v>
      </c>
      <c r="C6" s="2">
        <v>1</v>
      </c>
      <c r="D6" s="2">
        <v>-1</v>
      </c>
      <c r="E6" s="2">
        <v>-1</v>
      </c>
      <c r="F6" s="2">
        <v>88.4</v>
      </c>
      <c r="G6" s="2">
        <v>94</v>
      </c>
      <c r="H6" s="2"/>
      <c r="I6" s="2"/>
      <c r="J6" s="2"/>
    </row>
    <row r="7" spans="1:10" x14ac:dyDescent="0.25">
      <c r="A7" s="2">
        <v>5</v>
      </c>
      <c r="B7" s="2">
        <v>-1</v>
      </c>
      <c r="C7" s="2">
        <v>-1</v>
      </c>
      <c r="D7" s="2">
        <v>1</v>
      </c>
      <c r="E7" s="2">
        <v>-1</v>
      </c>
      <c r="F7" s="2">
        <v>94</v>
      </c>
      <c r="G7" s="2">
        <v>88</v>
      </c>
      <c r="H7" s="2"/>
      <c r="I7" s="2"/>
      <c r="J7" s="2"/>
    </row>
    <row r="8" spans="1:10" x14ac:dyDescent="0.25">
      <c r="A8" s="2">
        <v>6</v>
      </c>
      <c r="B8" s="2">
        <v>1</v>
      </c>
      <c r="C8" s="2">
        <v>-1</v>
      </c>
      <c r="D8" s="2">
        <v>1</v>
      </c>
      <c r="E8" s="2">
        <v>-1</v>
      </c>
      <c r="F8" s="2">
        <v>94.4</v>
      </c>
      <c r="G8" s="2">
        <v>97</v>
      </c>
      <c r="H8" s="2"/>
      <c r="I8" s="2"/>
      <c r="J8" s="2"/>
    </row>
    <row r="9" spans="1:10" x14ac:dyDescent="0.25">
      <c r="A9" s="2">
        <v>7</v>
      </c>
      <c r="B9" s="2">
        <v>-1</v>
      </c>
      <c r="C9" s="2">
        <v>1</v>
      </c>
      <c r="D9" s="2">
        <v>1</v>
      </c>
      <c r="E9" s="2">
        <v>-1</v>
      </c>
      <c r="F9" s="2">
        <v>108</v>
      </c>
      <c r="G9" s="2">
        <v>100</v>
      </c>
      <c r="H9" s="2"/>
      <c r="I9" s="2"/>
      <c r="J9" s="2"/>
    </row>
    <row r="10" spans="1:10" x14ac:dyDescent="0.25">
      <c r="A10" s="2">
        <v>8</v>
      </c>
      <c r="B10" s="2">
        <v>1</v>
      </c>
      <c r="C10" s="2">
        <v>1</v>
      </c>
      <c r="D10" s="2">
        <v>1</v>
      </c>
      <c r="E10" s="2">
        <v>-1</v>
      </c>
      <c r="F10" s="2">
        <v>102</v>
      </c>
      <c r="G10" s="2">
        <v>98</v>
      </c>
      <c r="H10" s="2"/>
      <c r="I10" s="2"/>
      <c r="J10" s="2"/>
    </row>
    <row r="11" spans="1:10" x14ac:dyDescent="0.25">
      <c r="A11" s="2">
        <v>9</v>
      </c>
      <c r="B11" s="2">
        <v>-1</v>
      </c>
      <c r="C11" s="2">
        <v>-1</v>
      </c>
      <c r="D11" s="2">
        <v>-1</v>
      </c>
      <c r="E11" s="2">
        <v>1</v>
      </c>
      <c r="F11" s="2">
        <v>76.599999999999994</v>
      </c>
      <c r="G11" s="2">
        <v>72</v>
      </c>
      <c r="H11" s="2"/>
      <c r="I11" s="2"/>
      <c r="J11" s="2"/>
    </row>
    <row r="12" spans="1:10" x14ac:dyDescent="0.25">
      <c r="A12" s="2">
        <v>10</v>
      </c>
      <c r="B12" s="2">
        <v>1</v>
      </c>
      <c r="C12" s="2">
        <v>-1</v>
      </c>
      <c r="D12" s="2">
        <v>-1</v>
      </c>
      <c r="E12" s="2">
        <v>1</v>
      </c>
      <c r="F12" s="2">
        <v>70.8</v>
      </c>
      <c r="G12" s="2">
        <v>62</v>
      </c>
      <c r="H12" s="2"/>
      <c r="I12" s="2"/>
      <c r="J12" s="2"/>
    </row>
    <row r="13" spans="1:10" x14ac:dyDescent="0.25">
      <c r="A13" s="2">
        <v>11</v>
      </c>
      <c r="B13" s="2">
        <v>-1</v>
      </c>
      <c r="C13" s="2">
        <v>1</v>
      </c>
      <c r="D13" s="2">
        <v>-1</v>
      </c>
      <c r="E13" s="2">
        <v>1</v>
      </c>
      <c r="F13" s="2">
        <v>97.8</v>
      </c>
      <c r="G13" s="2">
        <v>90</v>
      </c>
      <c r="H13" s="2"/>
      <c r="I13" s="2"/>
      <c r="J13" s="2"/>
    </row>
    <row r="14" spans="1:10" x14ac:dyDescent="0.25">
      <c r="A14" s="2">
        <v>12</v>
      </c>
      <c r="B14" s="2">
        <v>1</v>
      </c>
      <c r="C14" s="2">
        <v>1</v>
      </c>
      <c r="D14" s="2">
        <v>-1</v>
      </c>
      <c r="E14" s="2">
        <v>1</v>
      </c>
      <c r="F14" s="2">
        <v>98</v>
      </c>
      <c r="G14" s="2">
        <v>90</v>
      </c>
      <c r="H14" s="2"/>
      <c r="I14" s="2"/>
      <c r="J14" s="2"/>
    </row>
    <row r="15" spans="1:10" x14ac:dyDescent="0.25">
      <c r="A15" s="2">
        <v>13</v>
      </c>
      <c r="B15" s="2">
        <v>-1</v>
      </c>
      <c r="C15" s="2">
        <v>-1</v>
      </c>
      <c r="D15" s="2">
        <v>1</v>
      </c>
      <c r="E15" s="2">
        <v>1</v>
      </c>
      <c r="F15" s="2">
        <v>92</v>
      </c>
      <c r="G15" s="2">
        <v>90</v>
      </c>
      <c r="H15" s="2"/>
      <c r="I15" s="2"/>
      <c r="J15" s="2"/>
    </row>
    <row r="16" spans="1:10" x14ac:dyDescent="0.25">
      <c r="A16" s="2">
        <v>14</v>
      </c>
      <c r="B16" s="2">
        <v>1</v>
      </c>
      <c r="C16" s="2">
        <v>-1</v>
      </c>
      <c r="D16" s="2">
        <v>1</v>
      </c>
      <c r="E16" s="2">
        <v>1</v>
      </c>
      <c r="F16" s="2">
        <v>95</v>
      </c>
      <c r="G16" s="2">
        <v>98</v>
      </c>
      <c r="H16" s="2"/>
      <c r="I16" s="2"/>
      <c r="J16" s="2"/>
    </row>
    <row r="17" spans="1:10" x14ac:dyDescent="0.25">
      <c r="A17" s="2">
        <v>15</v>
      </c>
      <c r="B17" s="2">
        <v>-1</v>
      </c>
      <c r="C17" s="2">
        <v>1</v>
      </c>
      <c r="D17" s="2">
        <v>1</v>
      </c>
      <c r="E17" s="2">
        <v>1</v>
      </c>
      <c r="F17" s="2">
        <v>104</v>
      </c>
      <c r="G17" s="2">
        <v>104</v>
      </c>
      <c r="H17" s="2"/>
      <c r="I17" s="2"/>
      <c r="J17" s="2"/>
    </row>
    <row r="18" spans="1:10" x14ac:dyDescent="0.25">
      <c r="A18" s="2">
        <v>16</v>
      </c>
      <c r="B18" s="2">
        <v>1</v>
      </c>
      <c r="C18" s="2">
        <v>1</v>
      </c>
      <c r="D18" s="2">
        <v>1</v>
      </c>
      <c r="E18" s="2">
        <v>1</v>
      </c>
      <c r="F18" s="2">
        <v>110</v>
      </c>
      <c r="G18" s="2">
        <v>100</v>
      </c>
      <c r="H18" s="2"/>
      <c r="I18" s="2"/>
      <c r="J18" s="2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Res-2(4)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 Luiz</dc:creator>
  <cp:lastModifiedBy>André Luiz</cp:lastModifiedBy>
  <dcterms:created xsi:type="dcterms:W3CDTF">2021-09-09T13:46:26Z</dcterms:created>
  <dcterms:modified xsi:type="dcterms:W3CDTF">2021-09-30T20:30:30Z</dcterms:modified>
</cp:coreProperties>
</file>